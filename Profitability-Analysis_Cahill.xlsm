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hill100\Documents\GitHub\Excel\"/>
    </mc:Choice>
  </mc:AlternateContent>
  <xr:revisionPtr revIDLastSave="0" documentId="13_ncr:1_{10BFFC49-B4BF-4DED-A638-94D92E3846AD}" xr6:coauthVersionLast="43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Main" sheetId="1" r:id="rId1"/>
    <sheet name="Histogram" sheetId="94" r:id="rId2"/>
    <sheet name="Histogram Data" sheetId="2" r:id="rId3"/>
  </sheets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<sst xmlns="http://schemas.openxmlformats.org/spreadsheetml/2006/main" count="30" uniqueCount="25">
  <si>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</si>
  <si>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</si>
  <si>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</si>
  <si>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</si>
  <si>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</si>
  <si>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</si>
  <si>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</si>
  <si>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</si>
  <si>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</si>
  <si>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</si>
  <si>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</si>
  <si>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</si>
  <si>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</si>
  <si>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</si>
  <si>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</si>
  <si>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</si>
  <si>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</si>
  <si>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</si>
  <si>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</si>
  <si>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</si>
  <si>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</si>
  <si>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</si>
  <si>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</si>
  <si>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.35</t>
  </si>
  <si>
    <t>-20.0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</si>
</sst>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  <xf numFmtId="2" fontId="0" fillId="2" borderId="4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-47.5</c:v>
                </c:pt>
                <c:pt idx="1">
                  <c:v>-42.5</c:v>
                </c:pt>
                <c:pt idx="2">
                  <c:v>-37.5</c:v>
                </c:pt>
                <c:pt idx="3">
                  <c:v>-32.5</c:v>
                </c:pt>
                <c:pt idx="4">
                  <c:v>-27.5</c:v>
                </c:pt>
                <c:pt idx="5">
                  <c:v>-22.5</c:v>
                </c:pt>
                <c:pt idx="6">
                  <c:v>-17.5</c:v>
                </c:pt>
                <c:pt idx="7">
                  <c:v>-12.5</c:v>
                </c:pt>
                <c:pt idx="8">
                  <c:v>-7.5</c:v>
                </c:pt>
                <c:pt idx="9">
                  <c:v>-2.5</c:v>
                </c:pt>
                <c:pt idx="10">
                  <c:v>2.5</c:v>
                </c:pt>
                <c:pt idx="11">
                  <c:v>7.5</c:v>
                </c:pt>
                <c:pt idx="12">
                  <c:v>12.5</c:v>
                </c:pt>
                <c:pt idx="13">
                  <c:v>17.5</c:v>
                </c:pt>
                <c:pt idx="14">
                  <c:v>22.5</c:v>
                </c:pt>
                <c:pt idx="15">
                  <c:v>27.5</c:v>
                </c:pt>
                <c:pt idx="16">
                  <c:v>32.5</c:v>
                </c:pt>
                <c:pt idx="17">
                  <c:v>37.5</c:v>
                </c:pt>
                <c:pt idx="18">
                  <c:v>42.5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0</c:v>
                </c:pt>
                <c:pt idx="1">
                  <c:v>3</c:v>
                </c:pt>
                <c:pt idx="2">
                  <c:v>17</c:v>
                </c:pt>
                <c:pt idx="3">
                  <c:v>34</c:v>
                </c:pt>
                <c:pt idx="4">
                  <c:v>55</c:v>
                </c:pt>
                <c:pt idx="5">
                  <c:v>63</c:v>
                </c:pt>
                <c:pt idx="6">
                  <c:v>91</c:v>
                </c:pt>
                <c:pt idx="7">
                  <c:v>89</c:v>
                </c:pt>
                <c:pt idx="8">
                  <c:v>121</c:v>
                </c:pt>
                <c:pt idx="9">
                  <c:v>115</c:v>
                </c:pt>
                <c:pt idx="10">
                  <c:v>99</c:v>
                </c:pt>
                <c:pt idx="11">
                  <c:v>87</c:v>
                </c:pt>
                <c:pt idx="12">
                  <c:v>65</c:v>
                </c:pt>
                <c:pt idx="13">
                  <c:v>59</c:v>
                </c:pt>
                <c:pt idx="14">
                  <c:v>43</c:v>
                </c:pt>
                <c:pt idx="15">
                  <c:v>24</c:v>
                </c:pt>
                <c:pt idx="16">
                  <c:v>21</c:v>
                </c:pt>
                <c:pt idx="17">
                  <c:v>8</c:v>
                </c:pt>
                <c:pt idx="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28-41B6-9C6A-DC4DA4906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3883712"/>
        <c:axId val="674552896"/>
      </c:barChart>
      <c:catAx>
        <c:axId val="67388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52896"/>
        <c:crosses val="autoZero"/>
        <c:auto val="1"/>
        <c:lblAlgn val="ctr"/>
        <c:lblOffset val="100"/>
        <c:noMultiLvlLbl val="0"/>
      </c:catAx>
      <c:valAx>
        <c:axId val="6745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88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-47.5</c:v>
                </c:pt>
                <c:pt idx="1">
                  <c:v>-42.5</c:v>
                </c:pt>
                <c:pt idx="2">
                  <c:v>-37.5</c:v>
                </c:pt>
                <c:pt idx="3">
                  <c:v>-32.5</c:v>
                </c:pt>
                <c:pt idx="4">
                  <c:v>-27.5</c:v>
                </c:pt>
                <c:pt idx="5">
                  <c:v>-22.5</c:v>
                </c:pt>
                <c:pt idx="6">
                  <c:v>-17.5</c:v>
                </c:pt>
                <c:pt idx="7">
                  <c:v>-12.5</c:v>
                </c:pt>
                <c:pt idx="8">
                  <c:v>-7.5</c:v>
                </c:pt>
                <c:pt idx="9">
                  <c:v>-2.5</c:v>
                </c:pt>
                <c:pt idx="10">
                  <c:v>2.5</c:v>
                </c:pt>
                <c:pt idx="11">
                  <c:v>7.5</c:v>
                </c:pt>
                <c:pt idx="12">
                  <c:v>12.5</c:v>
                </c:pt>
                <c:pt idx="13">
                  <c:v>17.5</c:v>
                </c:pt>
                <c:pt idx="14">
                  <c:v>22.5</c:v>
                </c:pt>
                <c:pt idx="15">
                  <c:v>27.5</c:v>
                </c:pt>
                <c:pt idx="16">
                  <c:v>32.5</c:v>
                </c:pt>
                <c:pt idx="17">
                  <c:v>37.5</c:v>
                </c:pt>
                <c:pt idx="18">
                  <c:v>42.5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0</c:v>
                </c:pt>
                <c:pt idx="1">
                  <c:v>3</c:v>
                </c:pt>
                <c:pt idx="2">
                  <c:v>17</c:v>
                </c:pt>
                <c:pt idx="3">
                  <c:v>34</c:v>
                </c:pt>
                <c:pt idx="4">
                  <c:v>55</c:v>
                </c:pt>
                <c:pt idx="5">
                  <c:v>63</c:v>
                </c:pt>
                <c:pt idx="6">
                  <c:v>91</c:v>
                </c:pt>
                <c:pt idx="7">
                  <c:v>89</c:v>
                </c:pt>
                <c:pt idx="8">
                  <c:v>121</c:v>
                </c:pt>
                <c:pt idx="9">
                  <c:v>115</c:v>
                </c:pt>
                <c:pt idx="10">
                  <c:v>99</c:v>
                </c:pt>
                <c:pt idx="11">
                  <c:v>87</c:v>
                </c:pt>
                <c:pt idx="12">
                  <c:v>65</c:v>
                </c:pt>
                <c:pt idx="13">
                  <c:v>59</c:v>
                </c:pt>
                <c:pt idx="14">
                  <c:v>43</c:v>
                </c:pt>
                <c:pt idx="15">
                  <c:v>24</c:v>
                </c:pt>
                <c:pt idx="16">
                  <c:v>21</c:v>
                </c:pt>
                <c:pt idx="17">
                  <c:v>8</c:v>
                </c:pt>
                <c:pt idx="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B-41B1-A7E6-EAE128EB2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51296"/>
        <c:axId val="674587840"/>
      </c:barChart>
      <c:catAx>
        <c:axId val="2815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587840"/>
        <c:crosses val="autoZero"/>
        <c:auto val="1"/>
        <c:lblAlgn val="ctr"/>
        <c:lblOffset val="100"/>
        <c:noMultiLvlLbl val="0"/>
      </c:catAx>
      <c:valAx>
        <c:axId val="6745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E3CAEE-BAB5-4C9B-9C02-80D8F7313FD3}">
  <sheetPr codeName="Chart1"/>
  <sheetViews>
    <sheetView tabSelected="1"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25</xdr:row>
          <xdr:rowOff>133350</xdr:rowOff>
        </xdr:from>
        <xdr:to>
          <xdr:col>9</xdr:col>
          <xdr:colOff>304800</xdr:colOff>
          <xdr:row>31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421" cy="63025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166687</xdr:rowOff>
    </xdr:from>
    <xdr:to>
      <xdr:col>18</xdr:col>
      <xdr:colOff>228600</xdr:colOff>
      <xdr:row>26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opLeftCell="A2" zoomScaleNormal="100" workbookViewId="0">
      <selection activeCell="E5" sqref="E5"/>
    </sheetView>
  </sheetViews>
  <sheetFormatPr defaultRowHeight="15" x14ac:dyDescent="0.25"/>
  <cols>
    <col min="1" max="1" width="19.140625" bestFit="1" customWidth="1"/>
    <col min="2" max="3" width="12.28515625" bestFit="1" customWidth="1"/>
    <col min="4" max="4" width="8.7109375" bestFit="1" customWidth="1"/>
    <col min="5" max="5" width="59" bestFit="1" customWidth="1"/>
    <col min="6" max="6" width="9.42578125" bestFit="1" customWidth="1"/>
    <col min="7" max="7" width="4.28515625" bestFit="1" customWidth="1"/>
    <col min="8" max="9" width="11.5703125" bestFit="1" customWidth="1"/>
    <col min="10" max="10" width="11.28515625" bestFit="1" customWidth="1"/>
    <col min="11" max="11" width="11.5703125" bestFit="1" customWidth="1"/>
    <col min="12" max="12" width="12.7109375" bestFit="1" customWidth="1"/>
    <col min="13" max="14" width="12.28515625" bestFit="1" customWidth="1"/>
    <col min="16" max="16" width="9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 t="s">
        <v>24</v>
      </c>
      <c r="D3" t="s">
        <v>2</v>
      </c>
      <c r="E3" s="14">
        <v>47.925550588576669</v>
      </c>
      <c r="G3" t="s">
        <v>3</v>
      </c>
      <c r="H3" s="5">
        <v>-9</v>
      </c>
    </row>
    <row r="4" spans="1:16" ht="15.75" thickBot="1" x14ac:dyDescent="0.3">
      <c r="A4" t="s">
        <v>4</v>
      </c>
      <c r="B4" s="6">
        <v>-14.564837833158876</v>
      </c>
      <c r="D4" t="s">
        <v>5</v>
      </c>
      <c r="E4" s="15" t="s">
        <v>23</v>
      </c>
      <c r="G4" t="s">
        <v>6</v>
      </c>
      <c r="H4" s="7">
        <v>0.13485298156738282</v>
      </c>
    </row>
    <row r="5" spans="1:16" x14ac:dyDescent="0.25">
      <c r="A5" t="s">
        <v>7</v>
      </c>
      <c r="B5" s="8">
        <v>-70.705043608615753</v>
      </c>
      <c r="H5" s="9"/>
    </row>
    <row r="6" spans="1:16" x14ac:dyDescent="0.25">
      <c r="A6" t="s">
        <v>8</v>
      </c>
      <c r="B6" s="8">
        <v>-15.311757385730743</v>
      </c>
      <c r="E6" t="s">
        <v>9</v>
      </c>
      <c r="H6" s="9"/>
    </row>
    <row r="7" spans="1:16" ht="15.75" thickBot="1" x14ac:dyDescent="0.3">
      <c r="A7" t="s">
        <v>10</v>
      </c>
      <c r="B7" s="13">
        <v>-10.71536671052981</v>
      </c>
      <c r="E7" t="s">
        <v>11</v>
      </c>
      <c r="H7" s="9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0">
        <f>0.5*CTDC</f>
        <v>-35.352521804307877</v>
      </c>
      <c r="C10" s="10"/>
      <c r="D10" s="10" t="str">
        <f>Cland</f>
        <v>-20.0</v>
      </c>
      <c r="E10" s="10"/>
      <c r="F10" s="10"/>
      <c r="G10" s="10"/>
      <c r="H10" s="10"/>
      <c r="I10" s="10"/>
      <c r="J10" s="10"/>
      <c r="L10">
        <f>B10+D10</f>
        <v>-55.352521804307877</v>
      </c>
      <c r="M10" s="10">
        <f t="shared" ref="M10:M24" si="0">L10/(1+i)^(A10-1)</f>
        <v>-55.352521804307877</v>
      </c>
      <c r="N10" s="10">
        <f>M10</f>
        <v>-55.352521804307877</v>
      </c>
    </row>
    <row r="11" spans="1:16" x14ac:dyDescent="0.25">
      <c r="A11">
        <v>2</v>
      </c>
      <c r="B11" s="10">
        <f>0.5*CTDC</f>
        <v>-35.352521804307877</v>
      </c>
      <c r="C11" s="10">
        <f>WC</f>
        <v>-15.311757385730743</v>
      </c>
      <c r="D11" s="10"/>
      <c r="E11" s="10"/>
      <c r="F11" s="10">
        <f>Cstart</f>
        <v>-10.71536671052981</v>
      </c>
      <c r="G11" s="10"/>
      <c r="H11" s="10"/>
      <c r="I11" s="10"/>
      <c r="J11" s="10"/>
      <c r="L11">
        <f>B11+C11+F11</f>
        <v>-61.379645900568434</v>
      </c>
      <c r="M11" s="10">
        <f t="shared" si="0"/>
        <v>-54.085989020176854</v>
      </c>
      <c r="N11" s="10">
        <f>N10+M11</f>
        <v>-109.43851082448472</v>
      </c>
    </row>
    <row r="12" spans="1:16" x14ac:dyDescent="0.25">
      <c r="A12">
        <v>3</v>
      </c>
      <c r="B12" s="10"/>
      <c r="C12" s="10"/>
      <c r="D12" s="10"/>
      <c r="E12" s="10">
        <f t="shared" ref="E12:E24" si="1">Croyal</f>
        <v>-14.564837833158876</v>
      </c>
      <c r="F12" s="10"/>
      <c r="G12" s="10"/>
      <c r="H12" s="10">
        <f>P12*-CTDC</f>
        <v>10.103750731671191</v>
      </c>
      <c r="I12" s="10">
        <f>0.5*S</f>
        <v>23.962775294288335</v>
      </c>
      <c r="J12" s="10">
        <f>0.5*COS</f>
        <v>-4.5</v>
      </c>
      <c r="K12" s="10">
        <f>(1-tax)*(I12-J12-H12)</f>
        <v>11.933365965701144</v>
      </c>
      <c r="L12" s="10">
        <f t="shared" ref="L12:L23" si="2">K12+H12+E12</f>
        <v>7.4722788642134574</v>
      </c>
      <c r="M12" s="10">
        <f t="shared" si="0"/>
        <v>5.8019484435942612</v>
      </c>
      <c r="N12" s="10">
        <f t="shared" ref="N12:N23" si="3">N11+M12</f>
        <v>-103.63656238089047</v>
      </c>
      <c r="P12" s="11">
        <v>0.1429</v>
      </c>
    </row>
    <row r="13" spans="1:16" x14ac:dyDescent="0.25">
      <c r="A13">
        <v>4</v>
      </c>
      <c r="B13" s="10"/>
      <c r="C13" s="10"/>
      <c r="D13" s="10"/>
      <c r="E13" s="10">
        <f t="shared" si="1"/>
        <v>-14.564837833158876</v>
      </c>
      <c r="F13" s="10"/>
      <c r="G13" s="10"/>
      <c r="H13" s="10">
        <f t="shared" ref="H13:H19" si="4">P13*-CTDC</f>
        <v>17.315665179749999</v>
      </c>
      <c r="I13" s="10">
        <f>0.8*S</f>
        <v>38.340440470861338</v>
      </c>
      <c r="J13" s="10">
        <f>0.8*COS</f>
        <v>-7.2</v>
      </c>
      <c r="K13" s="10">
        <f t="shared" ref="K13:K24" si="5">(1-tax)*(I13-J13-H13)</f>
        <v>18.346103939222374</v>
      </c>
      <c r="L13" s="10">
        <f t="shared" si="2"/>
        <v>21.096931285813497</v>
      </c>
      <c r="M13" s="10">
        <f t="shared" si="0"/>
        <v>14.434457939042337</v>
      </c>
      <c r="N13" s="10">
        <f t="shared" si="3"/>
        <v>-89.202104441848135</v>
      </c>
      <c r="P13" s="11">
        <v>0.24490000000000001</v>
      </c>
    </row>
    <row r="14" spans="1:16" x14ac:dyDescent="0.25">
      <c r="A14">
        <v>5</v>
      </c>
      <c r="B14" s="10"/>
      <c r="C14" s="10"/>
      <c r="D14" s="10"/>
      <c r="E14" s="10">
        <f t="shared" si="1"/>
        <v>-14.564837833158876</v>
      </c>
      <c r="F14" s="10"/>
      <c r="G14" s="10"/>
      <c r="H14" s="10">
        <f t="shared" si="4"/>
        <v>12.366312127146895</v>
      </c>
      <c r="I14" s="10">
        <f t="shared" ref="I14:I24" si="6">S</f>
        <v>47.925550588576669</v>
      </c>
      <c r="J14" s="10">
        <f t="shared" ref="J14:J24" si="7">COS</f>
        <v>-9</v>
      </c>
      <c r="K14" s="10">
        <f t="shared" si="5"/>
        <v>28.963504999929352</v>
      </c>
      <c r="L14" s="10">
        <f t="shared" si="2"/>
        <v>26.764979293917371</v>
      </c>
      <c r="M14" s="10">
        <f t="shared" si="0"/>
        <v>16.136468693528961</v>
      </c>
      <c r="N14" s="10">
        <f t="shared" si="3"/>
        <v>-73.065635748319181</v>
      </c>
      <c r="P14" s="11">
        <v>0.1749</v>
      </c>
    </row>
    <row r="15" spans="1:16" x14ac:dyDescent="0.25">
      <c r="A15">
        <v>6</v>
      </c>
      <c r="B15" s="10"/>
      <c r="C15" s="10"/>
      <c r="D15" s="10"/>
      <c r="E15" s="10">
        <f t="shared" si="1"/>
        <v>-14.564837833158876</v>
      </c>
      <c r="F15" s="10"/>
      <c r="G15" s="10"/>
      <c r="H15" s="10">
        <f t="shared" si="4"/>
        <v>8.8310599467161079</v>
      </c>
      <c r="I15" s="10">
        <f t="shared" si="6"/>
        <v>47.925550588576669</v>
      </c>
      <c r="J15" s="10">
        <f t="shared" si="7"/>
        <v>-9</v>
      </c>
      <c r="K15" s="10">
        <f t="shared" si="5"/>
        <v>31.261418917209365</v>
      </c>
      <c r="L15" s="10">
        <f t="shared" si="2"/>
        <v>25.527641030766596</v>
      </c>
      <c r="M15" s="10">
        <f t="shared" si="0"/>
        <v>13.561654287427046</v>
      </c>
      <c r="N15" s="10">
        <f t="shared" si="3"/>
        <v>-59.503981460892135</v>
      </c>
      <c r="P15" s="11">
        <v>0.1249</v>
      </c>
    </row>
    <row r="16" spans="1:16" x14ac:dyDescent="0.25">
      <c r="A16">
        <v>7</v>
      </c>
      <c r="B16" s="10"/>
      <c r="C16" s="10"/>
      <c r="D16" s="10"/>
      <c r="E16" s="10">
        <f t="shared" si="1"/>
        <v>-14.564837833158876</v>
      </c>
      <c r="F16" s="10"/>
      <c r="G16" s="10"/>
      <c r="H16" s="10">
        <f t="shared" si="4"/>
        <v>6.3139603942493867</v>
      </c>
      <c r="I16" s="10">
        <f t="shared" si="6"/>
        <v>47.925550588576669</v>
      </c>
      <c r="J16" s="10">
        <f t="shared" si="7"/>
        <v>-9</v>
      </c>
      <c r="K16" s="10">
        <f t="shared" si="5"/>
        <v>32.897533626312736</v>
      </c>
      <c r="L16" s="10">
        <f t="shared" si="2"/>
        <v>24.646656187403245</v>
      </c>
      <c r="M16" s="10">
        <f t="shared" si="0"/>
        <v>11.537730458363466</v>
      </c>
      <c r="N16" s="10">
        <f t="shared" si="3"/>
        <v>-47.966251002528665</v>
      </c>
      <c r="P16" s="11">
        <v>8.9300000000000004E-2</v>
      </c>
    </row>
    <row r="17" spans="1:16" x14ac:dyDescent="0.25">
      <c r="A17">
        <v>8</v>
      </c>
      <c r="B17" s="10"/>
      <c r="C17" s="10"/>
      <c r="D17" s="10"/>
      <c r="E17" s="10">
        <f t="shared" si="1"/>
        <v>-14.564837833158876</v>
      </c>
      <c r="F17" s="10"/>
      <c r="G17" s="10"/>
      <c r="H17" s="10">
        <f t="shared" si="4"/>
        <v>6.3068898898885255</v>
      </c>
      <c r="I17" s="10">
        <f t="shared" si="6"/>
        <v>47.925550588576669</v>
      </c>
      <c r="J17" s="10">
        <f t="shared" si="7"/>
        <v>-9</v>
      </c>
      <c r="K17" s="10">
        <f t="shared" si="5"/>
        <v>32.902129454147293</v>
      </c>
      <c r="L17" s="10">
        <f t="shared" si="2"/>
        <v>24.64418151087694</v>
      </c>
      <c r="M17" s="10">
        <f t="shared" si="0"/>
        <v>10.165697395465346</v>
      </c>
      <c r="N17" s="10">
        <f t="shared" si="3"/>
        <v>-37.800553607063321</v>
      </c>
      <c r="P17" s="11">
        <v>8.9200000000000002E-2</v>
      </c>
    </row>
    <row r="18" spans="1:16" x14ac:dyDescent="0.25">
      <c r="A18">
        <v>9</v>
      </c>
      <c r="B18" s="10"/>
      <c r="C18" s="10"/>
      <c r="D18" s="10"/>
      <c r="E18" s="10">
        <f t="shared" si="1"/>
        <v>-14.564837833158876</v>
      </c>
      <c r="F18" s="10"/>
      <c r="G18" s="10"/>
      <c r="H18" s="10">
        <f t="shared" si="4"/>
        <v>6.3139603942493867</v>
      </c>
      <c r="I18" s="10">
        <f t="shared" si="6"/>
        <v>47.925550588576669</v>
      </c>
      <c r="J18" s="10">
        <f t="shared" si="7"/>
        <v>-9</v>
      </c>
      <c r="K18" s="10">
        <f t="shared" si="5"/>
        <v>32.897533626312736</v>
      </c>
      <c r="L18" s="10">
        <f t="shared" si="2"/>
        <v>24.646656187403245</v>
      </c>
      <c r="M18" s="10">
        <f t="shared" si="0"/>
        <v>8.9586213914084638</v>
      </c>
      <c r="N18" s="10">
        <f t="shared" si="3"/>
        <v>-28.841932215654857</v>
      </c>
      <c r="P18" s="11">
        <v>8.9300000000000004E-2</v>
      </c>
    </row>
    <row r="19" spans="1:16" x14ac:dyDescent="0.25">
      <c r="A19">
        <v>10</v>
      </c>
      <c r="B19" s="10"/>
      <c r="C19" s="10"/>
      <c r="D19" s="10"/>
      <c r="E19" s="10">
        <f t="shared" si="1"/>
        <v>-14.564837833158876</v>
      </c>
      <c r="F19" s="10"/>
      <c r="G19" s="10"/>
      <c r="H19" s="10">
        <f t="shared" si="4"/>
        <v>3.1534449449442628</v>
      </c>
      <c r="I19" s="10">
        <f t="shared" si="6"/>
        <v>47.925550588576669</v>
      </c>
      <c r="J19" s="10">
        <f t="shared" si="7"/>
        <v>-9</v>
      </c>
      <c r="K19" s="10">
        <f t="shared" si="5"/>
        <v>34.951868668361065</v>
      </c>
      <c r="L19" s="10">
        <f t="shared" si="2"/>
        <v>23.540475780146451</v>
      </c>
      <c r="M19" s="10">
        <f t="shared" si="0"/>
        <v>7.5397823475187362</v>
      </c>
      <c r="N19" s="10">
        <f t="shared" si="3"/>
        <v>-21.302149868136119</v>
      </c>
      <c r="P19" s="11">
        <v>4.4600000000000001E-2</v>
      </c>
    </row>
    <row r="20" spans="1:16" x14ac:dyDescent="0.25">
      <c r="A20">
        <v>11</v>
      </c>
      <c r="B20" s="10"/>
      <c r="C20" s="10"/>
      <c r="D20" s="10"/>
      <c r="E20" s="10">
        <f t="shared" si="1"/>
        <v>-14.564837833158876</v>
      </c>
      <c r="F20" s="10"/>
      <c r="G20" s="10"/>
      <c r="H20" s="10"/>
      <c r="I20" s="10">
        <f t="shared" si="6"/>
        <v>47.925550588576669</v>
      </c>
      <c r="J20" s="10">
        <f t="shared" si="7"/>
        <v>-9</v>
      </c>
      <c r="K20" s="10">
        <f t="shared" si="5"/>
        <v>37.001607882574838</v>
      </c>
      <c r="L20" s="10">
        <f t="shared" si="2"/>
        <v>22.436770049415962</v>
      </c>
      <c r="M20" s="10">
        <f t="shared" si="0"/>
        <v>6.3323411915150958</v>
      </c>
      <c r="N20" s="10">
        <f t="shared" si="3"/>
        <v>-14.969808676621025</v>
      </c>
    </row>
    <row r="21" spans="1:16" x14ac:dyDescent="0.25">
      <c r="A21">
        <v>12</v>
      </c>
      <c r="B21" s="10"/>
      <c r="C21" s="10"/>
      <c r="D21" s="10"/>
      <c r="E21" s="10">
        <f t="shared" si="1"/>
        <v>-14.564837833158876</v>
      </c>
      <c r="F21" s="10"/>
      <c r="G21" s="10"/>
      <c r="H21" s="10"/>
      <c r="I21" s="10">
        <f t="shared" si="6"/>
        <v>47.925550588576669</v>
      </c>
      <c r="J21" s="10">
        <f t="shared" si="7"/>
        <v>-9</v>
      </c>
      <c r="K21" s="10">
        <f t="shared" si="5"/>
        <v>37.001607882574838</v>
      </c>
      <c r="L21" s="10">
        <f t="shared" si="2"/>
        <v>22.436770049415962</v>
      </c>
      <c r="M21" s="10">
        <f t="shared" si="0"/>
        <v>5.5798780056684434</v>
      </c>
      <c r="N21" s="10">
        <f t="shared" si="3"/>
        <v>-9.3899306709525803</v>
      </c>
    </row>
    <row r="22" spans="1:16" x14ac:dyDescent="0.25">
      <c r="A22">
        <v>13</v>
      </c>
      <c r="B22" s="10"/>
      <c r="C22" s="10"/>
      <c r="D22" s="10"/>
      <c r="E22" s="10">
        <f t="shared" si="1"/>
        <v>-14.564837833158876</v>
      </c>
      <c r="F22" s="10"/>
      <c r="G22" s="10"/>
      <c r="H22" s="10"/>
      <c r="I22" s="10">
        <f t="shared" si="6"/>
        <v>47.925550588576669</v>
      </c>
      <c r="J22" s="10">
        <f t="shared" si="7"/>
        <v>-9</v>
      </c>
      <c r="K22" s="10">
        <f t="shared" si="5"/>
        <v>37.001607882574838</v>
      </c>
      <c r="L22" s="10">
        <f t="shared" si="2"/>
        <v>22.436770049415962</v>
      </c>
      <c r="M22" s="10">
        <f t="shared" si="0"/>
        <v>4.9168289604895703</v>
      </c>
      <c r="N22" s="10">
        <f t="shared" si="3"/>
        <v>-4.47310171046301</v>
      </c>
    </row>
    <row r="23" spans="1:16" ht="15.75" thickBot="1" x14ac:dyDescent="0.3">
      <c r="A23">
        <v>14</v>
      </c>
      <c r="B23" s="10"/>
      <c r="C23" s="10"/>
      <c r="D23" s="10"/>
      <c r="E23" s="10">
        <f t="shared" si="1"/>
        <v>-14.564837833158876</v>
      </c>
      <c r="F23" s="10"/>
      <c r="G23" s="10"/>
      <c r="H23" s="10"/>
      <c r="I23" s="10">
        <f t="shared" si="6"/>
        <v>47.925550588576669</v>
      </c>
      <c r="J23" s="10">
        <f t="shared" si="7"/>
        <v>-9</v>
      </c>
      <c r="K23" s="10">
        <f t="shared" si="5"/>
        <v>37.001607882574838</v>
      </c>
      <c r="L23" s="10">
        <f t="shared" si="2"/>
        <v>22.436770049415962</v>
      </c>
      <c r="M23" s="10">
        <f t="shared" si="0"/>
        <v>4.3325690995663377</v>
      </c>
      <c r="N23" s="10">
        <f t="shared" si="3"/>
        <v>-0.14053261089667224</v>
      </c>
    </row>
    <row r="24" spans="1:16" ht="15.75" thickBot="1" x14ac:dyDescent="0.3">
      <c r="A24">
        <v>15</v>
      </c>
      <c r="B24" s="10"/>
      <c r="C24" s="10">
        <f>-WC</f>
        <v>15.311757385730743</v>
      </c>
      <c r="D24" s="10"/>
      <c r="E24" s="10">
        <f t="shared" si="1"/>
        <v>-14.564837833158876</v>
      </c>
      <c r="F24" s="10"/>
      <c r="G24" s="10"/>
      <c r="H24" s="10"/>
      <c r="I24" s="10">
        <f t="shared" si="6"/>
        <v>47.925550588576669</v>
      </c>
      <c r="J24" s="10">
        <f t="shared" si="7"/>
        <v>-9</v>
      </c>
      <c r="K24" s="10">
        <f t="shared" si="5"/>
        <v>37.001607882574838</v>
      </c>
      <c r="L24" s="10">
        <f>C24+K24+G24+E24</f>
        <v>37.748527435146705</v>
      </c>
      <c r="M24" s="10">
        <f t="shared" si="0"/>
        <v>6.4231131481273955</v>
      </c>
      <c r="N24" s="12">
        <f>N23+M24</f>
        <v>6.2825805372307233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Form">
                <anchor moveWithCells="1" sizeWithCells="1">
                  <from>
                    <xdr:col>7</xdr:col>
                    <xdr:colOff>266700</xdr:colOff>
                    <xdr:row>25</xdr:row>
                    <xdr:rowOff>133350</xdr:rowOff>
                  </from>
                  <to>
                    <xdr:col>9</xdr:col>
                    <xdr:colOff>304800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9"/>
  <sheetViews>
    <sheetView workbookViewId="0">
      <selection sqref="A1:B19"/>
    </sheetView>
  </sheetViews>
  <sheetFormatPr defaultRowHeight="15" x14ac:dyDescent="0.25"/>
  <sheetData>
    <row r="1" spans="1:2" x14ac:dyDescent="0.25">
      <c r="A1">
        <v>-47.5</v>
      </c>
      <c r="B1">
        <v>0</v>
      </c>
    </row>
    <row r="2" spans="1:2" x14ac:dyDescent="0.25">
      <c r="A2">
        <v>-42.5</v>
      </c>
      <c r="B2">
        <v>3</v>
      </c>
    </row>
    <row r="3" spans="1:2" x14ac:dyDescent="0.25">
      <c r="A3">
        <v>-37.5</v>
      </c>
      <c r="B3">
        <v>17</v>
      </c>
    </row>
    <row r="4" spans="1:2" x14ac:dyDescent="0.25">
      <c r="A4">
        <v>-32.5</v>
      </c>
      <c r="B4">
        <v>34</v>
      </c>
    </row>
    <row r="5" spans="1:2" x14ac:dyDescent="0.25">
      <c r="A5">
        <v>-27.5</v>
      </c>
      <c r="B5">
        <v>55</v>
      </c>
    </row>
    <row r="6" spans="1:2" x14ac:dyDescent="0.25">
      <c r="A6">
        <v>-22.5</v>
      </c>
      <c r="B6">
        <v>63</v>
      </c>
    </row>
    <row r="7" spans="1:2" x14ac:dyDescent="0.25">
      <c r="A7">
        <v>-17.5</v>
      </c>
      <c r="B7">
        <v>91</v>
      </c>
    </row>
    <row r="8" spans="1:2" x14ac:dyDescent="0.25">
      <c r="A8">
        <v>-12.5</v>
      </c>
      <c r="B8">
        <v>89</v>
      </c>
    </row>
    <row r="9" spans="1:2" x14ac:dyDescent="0.25">
      <c r="A9">
        <v>-7.5</v>
      </c>
      <c r="B9">
        <v>121</v>
      </c>
    </row>
    <row r="10" spans="1:2" x14ac:dyDescent="0.25">
      <c r="A10">
        <v>-2.5</v>
      </c>
      <c r="B10">
        <v>115</v>
      </c>
    </row>
    <row r="11" spans="1:2" x14ac:dyDescent="0.25">
      <c r="A11">
        <v>2.5</v>
      </c>
      <c r="B11">
        <v>99</v>
      </c>
    </row>
    <row r="12" spans="1:2" x14ac:dyDescent="0.25">
      <c r="A12">
        <v>7.5</v>
      </c>
      <c r="B12">
        <v>87</v>
      </c>
    </row>
    <row r="13" spans="1:2" x14ac:dyDescent="0.25">
      <c r="A13">
        <v>12.5</v>
      </c>
      <c r="B13">
        <v>65</v>
      </c>
    </row>
    <row r="14" spans="1:2" x14ac:dyDescent="0.25">
      <c r="A14">
        <v>17.5</v>
      </c>
      <c r="B14">
        <v>59</v>
      </c>
    </row>
    <row r="15" spans="1:2" x14ac:dyDescent="0.25">
      <c r="A15">
        <v>22.5</v>
      </c>
      <c r="B15">
        <v>43</v>
      </c>
    </row>
    <row r="16" spans="1:2" x14ac:dyDescent="0.25">
      <c r="A16">
        <v>27.5</v>
      </c>
      <c r="B16">
        <v>24</v>
      </c>
    </row>
    <row r="17" spans="1:2" x14ac:dyDescent="0.25">
      <c r="A17">
        <v>32.5</v>
      </c>
      <c r="B17">
        <v>21</v>
      </c>
    </row>
    <row r="18" spans="1:2" x14ac:dyDescent="0.25">
      <c r="A18">
        <v>37.5</v>
      </c>
      <c r="B18">
        <v>8</v>
      </c>
    </row>
    <row r="19" spans="1:2" x14ac:dyDescent="0.25">
      <c r="A19">
        <v>42.5</v>
      </c>
      <c r="B19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Cahill</dc:creator>
  <cp:lastModifiedBy>Joseph Cahill</cp:lastModifiedBy>
  <dcterms:created xsi:type="dcterms:W3CDTF">2013-10-29T18:00:12Z</dcterms:created>
  <dcterms:modified xsi:type="dcterms:W3CDTF">2019-08-05T01:02:09Z</dcterms:modified>
</cp:coreProperties>
</file>